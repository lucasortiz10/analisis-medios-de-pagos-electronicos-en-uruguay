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 Ortiz\OneDrive\Escritorio\Análisis de medios de pagos\"/>
    </mc:Choice>
  </mc:AlternateContent>
  <xr:revisionPtr revIDLastSave="0" documentId="8_{5BB86E11-EE96-41B2-B350-B5B9E743FE84}" xr6:coauthVersionLast="47" xr6:coauthVersionMax="47" xr10:uidLastSave="{00000000-0000-0000-0000-000000000000}"/>
  <bookViews>
    <workbookView xWindow="-28920" yWindow="-120" windowWidth="29040" windowHeight="15720" xr2:uid="{A77B405B-A723-42EF-984B-0D2A989F6D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Ortiz Gomez</author>
  </authors>
  <commentList>
    <comment ref="A2" authorId="0" shapeId="0" xr:uid="{0A726261-6640-4C62-9024-6490538F4B84}">
      <text>
        <r>
          <rPr>
            <b/>
            <sz val="9"/>
            <color indexed="81"/>
            <rFont val="Tahoma"/>
            <charset val="1"/>
          </rPr>
          <t>Lucas Ortiz Gomez:</t>
        </r>
        <r>
          <rPr>
            <sz val="9"/>
            <color indexed="81"/>
            <rFont val="Tahoma"/>
            <charset val="1"/>
          </rPr>
          <t xml:space="preserve">
Año
</t>
        </r>
      </text>
    </comment>
    <comment ref="B2" authorId="0" shapeId="0" xr:uid="{ED59FDB1-FBDF-4E8B-A904-9F535A7983F1}">
      <text>
        <r>
          <rPr>
            <b/>
            <sz val="9"/>
            <color indexed="81"/>
            <rFont val="Tahoma"/>
            <charset val="1"/>
          </rPr>
          <t>Lucas Ortiz Gomez:</t>
        </r>
        <r>
          <rPr>
            <sz val="9"/>
            <color indexed="81"/>
            <rFont val="Tahoma"/>
            <charset val="1"/>
          </rPr>
          <t xml:space="preserve">
Semestre</t>
        </r>
      </text>
    </comment>
    <comment ref="C2" authorId="0" shapeId="0" xr:uid="{338721EB-D068-40F8-BDEB-11B3B0C0D5FD}">
      <text>
        <r>
          <rPr>
            <b/>
            <sz val="9"/>
            <color indexed="81"/>
            <rFont val="Tahoma"/>
            <charset val="1"/>
          </rPr>
          <t>Lucas Ortiz Gomez:</t>
        </r>
        <r>
          <rPr>
            <sz val="9"/>
            <color indexed="81"/>
            <rFont val="Tahoma"/>
            <charset val="1"/>
          </rPr>
          <t xml:space="preserve">
Método de pago
</t>
        </r>
      </text>
    </comment>
    <comment ref="D2" authorId="0" shapeId="0" xr:uid="{E250068C-7378-4813-B688-C9D23CBF0687}">
      <text>
        <r>
          <rPr>
            <b/>
            <sz val="9"/>
            <color indexed="81"/>
            <rFont val="Tahoma"/>
            <charset val="1"/>
          </rPr>
          <t>Lucas Ortiz Gomez:</t>
        </r>
        <r>
          <rPr>
            <sz val="9"/>
            <color indexed="81"/>
            <rFont val="Tahoma"/>
            <charset val="1"/>
          </rPr>
          <t xml:space="preserve">
Monto en millones $(USD)
Montos en UYU convertidos a USD a razón de 1=40
</t>
        </r>
      </text>
    </comment>
    <comment ref="E2" authorId="0" shapeId="0" xr:uid="{8E6425AA-3B09-4CA0-A56E-CD4CA766C725}">
      <text>
        <r>
          <rPr>
            <b/>
            <sz val="9"/>
            <color indexed="81"/>
            <rFont val="Tahoma"/>
            <charset val="1"/>
          </rPr>
          <t>Lucas Ortiz Gomez:</t>
        </r>
        <r>
          <rPr>
            <sz val="9"/>
            <color indexed="81"/>
            <rFont val="Tahoma"/>
            <charset val="1"/>
          </rPr>
          <t xml:space="preserve">
Cantidad de transacciones
</t>
        </r>
      </text>
    </comment>
    <comment ref="F2" authorId="0" shapeId="0" xr:uid="{CEE35407-2385-4F30-847A-778C8F3A1921}">
      <text>
        <r>
          <rPr>
            <b/>
            <sz val="9"/>
            <color indexed="81"/>
            <rFont val="Tahoma"/>
            <charset val="1"/>
          </rPr>
          <t>Lucas Ortiz Gomez:</t>
        </r>
        <r>
          <rPr>
            <sz val="9"/>
            <color indexed="81"/>
            <rFont val="Tahoma"/>
            <charset val="1"/>
          </rPr>
          <t xml:space="preserve">
Fuente para la obtención de los datos
</t>
        </r>
      </text>
    </comment>
    <comment ref="G2" authorId="0" shapeId="0" xr:uid="{FDA8B4B4-2E49-4491-AB0F-318A02E4AF1C}">
      <text>
        <r>
          <rPr>
            <b/>
            <sz val="9"/>
            <color indexed="81"/>
            <rFont val="Tahoma"/>
            <family val="2"/>
          </rPr>
          <t>Lucas Ortiz Gomez:</t>
        </r>
        <r>
          <rPr>
            <sz val="9"/>
            <color indexed="81"/>
            <rFont val="Tahoma"/>
            <family val="2"/>
          </rPr>
          <t xml:space="preserve">
Monto promedio 
</t>
        </r>
      </text>
    </comment>
  </commentList>
</comments>
</file>

<file path=xl/sharedStrings.xml><?xml version="1.0" encoding="utf-8"?>
<sst xmlns="http://schemas.openxmlformats.org/spreadsheetml/2006/main" count="91" uniqueCount="31">
  <si>
    <t>year</t>
  </si>
  <si>
    <t xml:space="preserve"> semester</t>
  </si>
  <si>
    <t>amount_million</t>
  </si>
  <si>
    <t>transaction_count</t>
  </si>
  <si>
    <t>source</t>
  </si>
  <si>
    <t>payment_method</t>
  </si>
  <si>
    <t xml:space="preserve">Debit Card </t>
  </si>
  <si>
    <t>Credit Card</t>
  </si>
  <si>
    <t>repspagos0615</t>
  </si>
  <si>
    <t>repspagos0625</t>
  </si>
  <si>
    <t>repspagos1215</t>
  </si>
  <si>
    <t>repspagos1216</t>
  </si>
  <si>
    <t>repspagos0616</t>
  </si>
  <si>
    <t>repspagos0617</t>
  </si>
  <si>
    <t>repspagos1217</t>
  </si>
  <si>
    <t>repspagos0618</t>
  </si>
  <si>
    <t>repspagos1218</t>
  </si>
  <si>
    <t>repspagos0619</t>
  </si>
  <si>
    <t>repspagos1219</t>
  </si>
  <si>
    <t xml:space="preserve">repspagos1219 </t>
  </si>
  <si>
    <t>repspagos0620</t>
  </si>
  <si>
    <t>repspagos1220</t>
  </si>
  <si>
    <t>repspagos1221</t>
  </si>
  <si>
    <t>repspagos0621</t>
  </si>
  <si>
    <t>repspagos0622</t>
  </si>
  <si>
    <t>repspagos1222</t>
  </si>
  <si>
    <t>repspagos0623</t>
  </si>
  <si>
    <t>repspagos1223</t>
  </si>
  <si>
    <t>repspagos0624</t>
  </si>
  <si>
    <t>repspagos1224</t>
  </si>
  <si>
    <t>average_amount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</si>
</sst>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$-540A]#,##0"/>
  </numFmts>
  <fonts count="7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3" fontId="0" fillId="0" borderId="0" xfId="0" applyNumberFormat="1"/>
    <xf numFmtId="169" fontId="0" fillId="0" borderId="0" xfId="0" applyNumberFormat="1"/>
    <xf numFmtId="169" fontId="3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9" formatCode="[$$-540A]#,##0"/>
    </dxf>
    <dxf>
      <font>
        <b/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B3EAE8-24D4-4F41-859A-F708CF535E85}" name="Tabla1" displayName="Tabla1" ref="A2:G46" totalsRowShown="0" headerRowDxfId="1" dataDxfId="2">
  <autoFilter ref="A2:G46" xr:uid="{58B3EAE8-24D4-4F41-859A-F708CF535E85}"/>
  <tableColumns count="7">
    <tableColumn id="1" xr3:uid="{85DA5EA2-D13B-43C6-8FF5-213C581FB02A}" name="year" dataDxfId="8"/>
    <tableColumn id="2" xr3:uid="{E327318F-28FC-4038-BDC9-D49F23B40DC9}" name=" semester" dataDxfId="7"/>
    <tableColumn id="3" xr3:uid="{73C4317D-2278-4726-B221-A4D31DE0DB69}" name="payment_method" dataDxfId="6"/>
    <tableColumn id="4" xr3:uid="{11FDCDD3-1006-4DCF-97CA-5AAE693AD7E7}" name="amount_million" dataDxfId="5"/>
    <tableColumn id="5" xr3:uid="{226B5568-3C98-4C5B-8537-C75D7F37E6FD}" name="transaction_count" dataDxfId="4"/>
    <tableColumn id="6" xr3:uid="{D8C77654-BF1B-4BC4-96B7-7E8B411FCED8}" name="source" dataDxfId="3"/>
    <tableColumn id="7" xr3:uid="{229C4959-4B10-412A-8B2C-7613ED664B3B}" name="average_amount" dataDxfId="0">
      <calculatedColumnFormula xml:space="preserve"> (Tabla1[[#This Row],[amount_million]] * 1000000) / Tabla1[[#This Row],[transaction_count]]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353F-41E5-424D-8117-4675E7B4B48A}">
  <dimension ref="A2:G46"/>
  <sheetViews>
    <sheetView tabSelected="1" workbookViewId="0">
      <selection activeCell="G3" sqref="G3"/>
    </sheetView>
  </sheetViews>
  <sheetFormatPr baseColWidth="10" defaultRowHeight="14.5" x14ac:dyDescent="0.35"/>
  <cols>
    <col min="1" max="1" width="7.08984375" bestFit="1" customWidth="1"/>
    <col min="2" max="2" width="12" bestFit="1" customWidth="1"/>
    <col min="3" max="3" width="19.08984375" bestFit="1" customWidth="1"/>
    <col min="4" max="4" width="17.36328125" bestFit="1" customWidth="1"/>
    <col min="5" max="5" width="19.81640625" bestFit="1" customWidth="1"/>
    <col min="6" max="6" width="13.6328125" bestFit="1" customWidth="1"/>
    <col min="7" max="7" width="18.1796875" bestFit="1" customWidth="1"/>
  </cols>
  <sheetData>
    <row r="2" spans="1:7" ht="16" x14ac:dyDescent="0.4">
      <c r="A2" s="2" t="s">
        <v>0</v>
      </c>
      <c r="B2" s="2" t="s">
        <v>1</v>
      </c>
      <c r="C2" s="2" t="s">
        <v>5</v>
      </c>
      <c r="D2" s="2" t="s">
        <v>2</v>
      </c>
      <c r="E2" s="2" t="s">
        <v>3</v>
      </c>
      <c r="F2" s="2" t="s">
        <v>4</v>
      </c>
      <c r="G2" s="2" t="s">
        <v>30</v>
      </c>
    </row>
    <row r="3" spans="1:7" x14ac:dyDescent="0.35">
      <c r="A3" s="1">
        <v>2015</v>
      </c>
      <c r="B3" s="1">
        <v>1</v>
      </c>
      <c r="C3" s="1" t="s">
        <v>6</v>
      </c>
      <c r="D3" s="5">
        <v>700</v>
      </c>
      <c r="E3" s="3">
        <v>15288227</v>
      </c>
      <c r="F3" s="1" t="s">
        <v>8</v>
      </c>
      <c r="G3" s="5">
        <f xml:space="preserve"> (Tabla1[[#This Row],[amount_million]] * 1000000) / Tabla1[[#This Row],[transaction_count]]</f>
        <v>45.78686593285147</v>
      </c>
    </row>
    <row r="4" spans="1:7" x14ac:dyDescent="0.35">
      <c r="A4" s="1">
        <v>2015</v>
      </c>
      <c r="B4" s="1">
        <v>1</v>
      </c>
      <c r="C4" s="1" t="s">
        <v>7</v>
      </c>
      <c r="D4" s="4">
        <v>2368</v>
      </c>
      <c r="E4" s="3">
        <v>46883811</v>
      </c>
      <c r="F4" s="1" t="s">
        <v>8</v>
      </c>
      <c r="G4" s="5">
        <f xml:space="preserve"> (Tabla1[[#This Row],[amount_million]] * 1000000) / Tabla1[[#This Row],[transaction_count]]</f>
        <v>50.507839475762751</v>
      </c>
    </row>
    <row r="5" spans="1:7" x14ac:dyDescent="0.35">
      <c r="A5" s="1">
        <v>2015</v>
      </c>
      <c r="B5" s="1">
        <v>2</v>
      </c>
      <c r="C5" s="1" t="s">
        <v>6</v>
      </c>
      <c r="D5" s="5">
        <v>868</v>
      </c>
      <c r="E5" s="6">
        <v>20384705</v>
      </c>
      <c r="F5" s="1" t="s">
        <v>10</v>
      </c>
      <c r="G5" s="5">
        <f xml:space="preserve"> (Tabla1[[#This Row],[amount_million]] * 1000000) / Tabla1[[#This Row],[transaction_count]]</f>
        <v>42.580944879997034</v>
      </c>
    </row>
    <row r="6" spans="1:7" x14ac:dyDescent="0.35">
      <c r="A6" s="1">
        <v>2015</v>
      </c>
      <c r="B6" s="1">
        <v>2</v>
      </c>
      <c r="C6" s="1" t="s">
        <v>7</v>
      </c>
      <c r="D6" s="4">
        <v>2276</v>
      </c>
      <c r="E6" s="3">
        <v>48960142</v>
      </c>
      <c r="F6" s="1" t="s">
        <v>10</v>
      </c>
      <c r="G6" s="5">
        <f xml:space="preserve"> (Tabla1[[#This Row],[amount_million]] * 1000000) / Tabla1[[#This Row],[transaction_count]]</f>
        <v>46.486793277682892</v>
      </c>
    </row>
    <row r="7" spans="1:7" x14ac:dyDescent="0.35">
      <c r="A7" s="1">
        <v>2016</v>
      </c>
      <c r="B7" s="1">
        <v>1</v>
      </c>
      <c r="C7" s="1" t="s">
        <v>6</v>
      </c>
      <c r="D7" s="5">
        <v>1027</v>
      </c>
      <c r="E7" s="3">
        <v>25725822</v>
      </c>
      <c r="F7" s="1" t="s">
        <v>12</v>
      </c>
      <c r="G7" s="5">
        <f xml:space="preserve"> (Tabla1[[#This Row],[amount_million]] * 1000000) / Tabla1[[#This Row],[transaction_count]]</f>
        <v>39.920979007007048</v>
      </c>
    </row>
    <row r="8" spans="1:7" x14ac:dyDescent="0.35">
      <c r="A8" s="1">
        <v>2016</v>
      </c>
      <c r="B8" s="1">
        <v>1</v>
      </c>
      <c r="C8" s="1" t="s">
        <v>7</v>
      </c>
      <c r="D8" s="5">
        <v>2280</v>
      </c>
      <c r="E8" s="3">
        <v>51914186</v>
      </c>
      <c r="F8" s="1" t="s">
        <v>12</v>
      </c>
      <c r="G8" s="5">
        <f xml:space="preserve"> (Tabla1[[#This Row],[amount_million]] * 1000000) / Tabla1[[#This Row],[transaction_count]]</f>
        <v>43.918631412230944</v>
      </c>
    </row>
    <row r="9" spans="1:7" x14ac:dyDescent="0.35">
      <c r="A9" s="1">
        <v>2016</v>
      </c>
      <c r="B9" s="1">
        <v>2</v>
      </c>
      <c r="C9" s="1" t="s">
        <v>6</v>
      </c>
      <c r="D9" s="5">
        <v>1402</v>
      </c>
      <c r="E9" s="3">
        <v>33668927</v>
      </c>
      <c r="F9" s="1" t="s">
        <v>11</v>
      </c>
      <c r="G9" s="5">
        <f xml:space="preserve"> (Tabla1[[#This Row],[amount_million]] * 1000000) / Tabla1[[#This Row],[transaction_count]]</f>
        <v>41.640768652948161</v>
      </c>
    </row>
    <row r="10" spans="1:7" x14ac:dyDescent="0.35">
      <c r="A10" s="1">
        <v>2016</v>
      </c>
      <c r="B10" s="1">
        <v>2</v>
      </c>
      <c r="C10" s="1" t="s">
        <v>7</v>
      </c>
      <c r="D10" s="5">
        <v>2616</v>
      </c>
      <c r="E10" s="3">
        <v>58178265</v>
      </c>
      <c r="F10" s="1" t="s">
        <v>11</v>
      </c>
      <c r="G10" s="5">
        <f xml:space="preserve"> (Tabla1[[#This Row],[amount_million]] * 1000000) / Tabla1[[#This Row],[transaction_count]]</f>
        <v>44.965246041627402</v>
      </c>
    </row>
    <row r="11" spans="1:7" x14ac:dyDescent="0.35">
      <c r="A11" s="1">
        <v>2017</v>
      </c>
      <c r="B11" s="1">
        <v>1</v>
      </c>
      <c r="C11" s="1" t="s">
        <v>6</v>
      </c>
      <c r="D11" s="5">
        <v>1846</v>
      </c>
      <c r="E11" s="3">
        <v>44918856</v>
      </c>
      <c r="F11" s="1" t="s">
        <v>13</v>
      </c>
      <c r="G11" s="5">
        <f xml:space="preserve"> (Tabla1[[#This Row],[amount_million]] * 1000000) / Tabla1[[#This Row],[transaction_count]]</f>
        <v>41.096327119283714</v>
      </c>
    </row>
    <row r="12" spans="1:7" x14ac:dyDescent="0.35">
      <c r="A12" s="1">
        <v>2017</v>
      </c>
      <c r="B12" s="1">
        <v>1</v>
      </c>
      <c r="C12" s="1" t="s">
        <v>7</v>
      </c>
      <c r="D12" s="5">
        <v>2893</v>
      </c>
      <c r="E12" s="3">
        <v>63095504</v>
      </c>
      <c r="F12" s="1" t="s">
        <v>13</v>
      </c>
      <c r="G12" s="5">
        <f xml:space="preserve"> (Tabla1[[#This Row],[amount_million]] * 1000000) / Tabla1[[#This Row],[transaction_count]]</f>
        <v>45.85112752249352</v>
      </c>
    </row>
    <row r="13" spans="1:7" x14ac:dyDescent="0.35">
      <c r="A13" s="1">
        <v>2017</v>
      </c>
      <c r="B13" s="1">
        <v>2</v>
      </c>
      <c r="C13" s="1" t="s">
        <v>6</v>
      </c>
      <c r="D13" s="5">
        <v>2260</v>
      </c>
      <c r="E13" s="3">
        <v>59897232</v>
      </c>
      <c r="F13" s="1" t="s">
        <v>14</v>
      </c>
      <c r="G13" s="5">
        <f xml:space="preserve"> (Tabla1[[#This Row],[amount_million]] * 1000000) / Tabla1[[#This Row],[transaction_count]]</f>
        <v>37.731292825017356</v>
      </c>
    </row>
    <row r="14" spans="1:7" x14ac:dyDescent="0.35">
      <c r="A14" s="1">
        <v>2017</v>
      </c>
      <c r="B14" s="1">
        <v>2</v>
      </c>
      <c r="C14" s="1" t="s">
        <v>7</v>
      </c>
      <c r="D14" s="5">
        <v>2967</v>
      </c>
      <c r="E14" s="3">
        <v>68850149</v>
      </c>
      <c r="F14" s="1" t="s">
        <v>14</v>
      </c>
      <c r="G14" s="5">
        <f xml:space="preserve"> (Tabla1[[#This Row],[amount_million]] * 1000000) / Tabla1[[#This Row],[transaction_count]]</f>
        <v>43.093588657302689</v>
      </c>
    </row>
    <row r="15" spans="1:7" x14ac:dyDescent="0.35">
      <c r="A15" s="1">
        <v>2018</v>
      </c>
      <c r="B15" s="1">
        <v>1</v>
      </c>
      <c r="C15" s="1" t="s">
        <v>6</v>
      </c>
      <c r="D15" s="5">
        <v>2671</v>
      </c>
      <c r="E15" s="6">
        <v>72877965</v>
      </c>
      <c r="F15" s="1" t="s">
        <v>15</v>
      </c>
      <c r="G15" s="5">
        <f xml:space="preserve"> (Tabla1[[#This Row],[amount_million]] * 1000000) / Tabla1[[#This Row],[transaction_count]]</f>
        <v>36.650309870754484</v>
      </c>
    </row>
    <row r="16" spans="1:7" x14ac:dyDescent="0.35">
      <c r="A16" s="1">
        <v>2018</v>
      </c>
      <c r="B16" s="1">
        <v>1</v>
      </c>
      <c r="C16" s="1" t="s">
        <v>7</v>
      </c>
      <c r="D16" s="5">
        <v>3140</v>
      </c>
      <c r="E16" s="6">
        <v>73872965</v>
      </c>
      <c r="F16" s="1" t="s">
        <v>15</v>
      </c>
      <c r="G16" s="5">
        <f xml:space="preserve"> (Tabla1[[#This Row],[amount_million]] * 1000000) / Tabla1[[#This Row],[transaction_count]]</f>
        <v>42.505400994802358</v>
      </c>
    </row>
    <row r="17" spans="1:7" x14ac:dyDescent="0.35">
      <c r="A17" s="1">
        <v>2018</v>
      </c>
      <c r="B17" s="1">
        <v>2</v>
      </c>
      <c r="C17" s="1" t="s">
        <v>6</v>
      </c>
      <c r="D17" s="5">
        <v>2793</v>
      </c>
      <c r="E17" s="6">
        <v>85054871</v>
      </c>
      <c r="F17" s="1" t="s">
        <v>16</v>
      </c>
      <c r="G17" s="5">
        <f xml:space="preserve"> (Tabla1[[#This Row],[amount_million]] * 1000000) / Tabla1[[#This Row],[transaction_count]]</f>
        <v>32.837625490020436</v>
      </c>
    </row>
    <row r="18" spans="1:7" x14ac:dyDescent="0.35">
      <c r="A18" s="1">
        <v>2018</v>
      </c>
      <c r="B18" s="1">
        <v>2</v>
      </c>
      <c r="C18" s="1" t="s">
        <v>7</v>
      </c>
      <c r="D18" s="5">
        <v>2961</v>
      </c>
      <c r="E18" s="6">
        <v>79268415</v>
      </c>
      <c r="F18" s="1" t="s">
        <v>16</v>
      </c>
      <c r="G18" s="5">
        <f xml:space="preserve"> (Tabla1[[#This Row],[amount_million]] * 1000000) / Tabla1[[#This Row],[transaction_count]]</f>
        <v>37.354096205910011</v>
      </c>
    </row>
    <row r="19" spans="1:7" x14ac:dyDescent="0.35">
      <c r="A19" s="1">
        <v>2019</v>
      </c>
      <c r="B19" s="1">
        <v>1</v>
      </c>
      <c r="C19" s="1" t="s">
        <v>6</v>
      </c>
      <c r="D19" s="5">
        <v>3056</v>
      </c>
      <c r="E19" s="6">
        <v>96937463</v>
      </c>
      <c r="F19" s="1" t="s">
        <v>17</v>
      </c>
      <c r="G19" s="5">
        <f xml:space="preserve"> (Tabla1[[#This Row],[amount_million]] * 1000000) / Tabla1[[#This Row],[transaction_count]]</f>
        <v>31.525479473297128</v>
      </c>
    </row>
    <row r="20" spans="1:7" x14ac:dyDescent="0.35">
      <c r="A20" s="1">
        <v>2019</v>
      </c>
      <c r="B20" s="1">
        <v>1</v>
      </c>
      <c r="C20" s="1" t="s">
        <v>7</v>
      </c>
      <c r="D20" s="5">
        <v>3002</v>
      </c>
      <c r="E20" s="6">
        <v>81719669</v>
      </c>
      <c r="F20" s="1" t="s">
        <v>17</v>
      </c>
      <c r="G20" s="5">
        <f xml:space="preserve"> (Tabla1[[#This Row],[amount_million]] * 1000000) / Tabla1[[#This Row],[transaction_count]]</f>
        <v>36.735342136542428</v>
      </c>
    </row>
    <row r="21" spans="1:7" x14ac:dyDescent="0.35">
      <c r="A21" s="1">
        <v>2019</v>
      </c>
      <c r="B21" s="1">
        <v>2</v>
      </c>
      <c r="C21" s="1" t="s">
        <v>6</v>
      </c>
      <c r="D21" s="5">
        <v>3280</v>
      </c>
      <c r="E21" s="6">
        <v>113088382</v>
      </c>
      <c r="F21" s="1" t="s">
        <v>18</v>
      </c>
      <c r="G21" s="5">
        <f xml:space="preserve"> (Tabla1[[#This Row],[amount_million]] * 1000000) / Tabla1[[#This Row],[transaction_count]]</f>
        <v>29.003863544532805</v>
      </c>
    </row>
    <row r="22" spans="1:7" x14ac:dyDescent="0.35">
      <c r="A22" s="1">
        <v>2019</v>
      </c>
      <c r="B22" s="1">
        <v>2</v>
      </c>
      <c r="C22" s="1" t="s">
        <v>7</v>
      </c>
      <c r="D22" s="5">
        <v>2917</v>
      </c>
      <c r="E22" s="6">
        <v>87533383</v>
      </c>
      <c r="F22" s="1" t="s">
        <v>19</v>
      </c>
      <c r="G22" s="5">
        <f xml:space="preserve"> (Tabla1[[#This Row],[amount_million]] * 1000000) / Tabla1[[#This Row],[transaction_count]]</f>
        <v>33.32442892102091</v>
      </c>
    </row>
    <row r="23" spans="1:7" x14ac:dyDescent="0.35">
      <c r="A23" s="1">
        <v>2020</v>
      </c>
      <c r="B23" s="1">
        <v>1</v>
      </c>
      <c r="C23" s="1" t="s">
        <v>6</v>
      </c>
      <c r="D23" s="5">
        <v>3005</v>
      </c>
      <c r="E23" s="6">
        <v>106983802</v>
      </c>
      <c r="F23" s="1" t="s">
        <v>20</v>
      </c>
      <c r="G23" s="5">
        <f xml:space="preserve"> (Tabla1[[#This Row],[amount_million]] * 1000000) / Tabla1[[#This Row],[transaction_count]]</f>
        <v>28.088364255366432</v>
      </c>
    </row>
    <row r="24" spans="1:7" x14ac:dyDescent="0.35">
      <c r="A24" s="1">
        <v>2020</v>
      </c>
      <c r="B24" s="1">
        <v>1</v>
      </c>
      <c r="C24" s="1" t="s">
        <v>7</v>
      </c>
      <c r="D24" s="5">
        <v>2314</v>
      </c>
      <c r="E24" s="6">
        <v>75944043</v>
      </c>
      <c r="F24" s="1" t="s">
        <v>20</v>
      </c>
      <c r="G24" s="5">
        <f xml:space="preserve"> (Tabla1[[#This Row],[amount_million]] * 1000000) / Tabla1[[#This Row],[transaction_count]]</f>
        <v>30.469802615064886</v>
      </c>
    </row>
    <row r="25" spans="1:7" x14ac:dyDescent="0.35">
      <c r="A25" s="1">
        <v>2020</v>
      </c>
      <c r="B25" s="1">
        <v>2</v>
      </c>
      <c r="C25" s="1" t="s">
        <v>6</v>
      </c>
      <c r="D25" s="5">
        <v>3303</v>
      </c>
      <c r="E25" s="6">
        <v>121352444</v>
      </c>
      <c r="F25" s="1" t="s">
        <v>21</v>
      </c>
      <c r="G25" s="5">
        <f xml:space="preserve"> (Tabla1[[#This Row],[amount_million]] * 1000000) / Tabla1[[#This Row],[transaction_count]]</f>
        <v>27.21824045010581</v>
      </c>
    </row>
    <row r="26" spans="1:7" x14ac:dyDescent="0.35">
      <c r="A26" s="1">
        <v>2020</v>
      </c>
      <c r="B26" s="1">
        <v>2</v>
      </c>
      <c r="C26" s="1" t="s">
        <v>7</v>
      </c>
      <c r="D26" s="5">
        <v>2415</v>
      </c>
      <c r="E26" s="6">
        <v>83826226</v>
      </c>
      <c r="F26" s="1" t="s">
        <v>21</v>
      </c>
      <c r="G26" s="5">
        <f xml:space="preserve"> (Tabla1[[#This Row],[amount_million]] * 1000000) / Tabla1[[#This Row],[transaction_count]]</f>
        <v>28.809599516027358</v>
      </c>
    </row>
    <row r="27" spans="1:7" x14ac:dyDescent="0.35">
      <c r="A27" s="1">
        <v>2021</v>
      </c>
      <c r="B27" s="1">
        <v>1</v>
      </c>
      <c r="C27" s="1" t="s">
        <v>6</v>
      </c>
      <c r="D27" s="5">
        <v>3705</v>
      </c>
      <c r="E27" s="6">
        <v>123473174</v>
      </c>
      <c r="F27" s="1" t="s">
        <v>23</v>
      </c>
      <c r="G27" s="5">
        <f xml:space="preserve"> (Tabla1[[#This Row],[amount_million]] * 1000000) / Tabla1[[#This Row],[transaction_count]]</f>
        <v>30.006517853019638</v>
      </c>
    </row>
    <row r="28" spans="1:7" x14ac:dyDescent="0.35">
      <c r="A28" s="1">
        <v>2021</v>
      </c>
      <c r="B28" s="1">
        <v>1</v>
      </c>
      <c r="C28" s="1" t="s">
        <v>7</v>
      </c>
      <c r="D28" s="5">
        <v>2697</v>
      </c>
      <c r="E28" s="6">
        <v>84274255</v>
      </c>
      <c r="F28" s="1" t="s">
        <v>23</v>
      </c>
      <c r="G28" s="5">
        <f xml:space="preserve"> (Tabla1[[#This Row],[amount_million]] * 1000000) / Tabla1[[#This Row],[transaction_count]]</f>
        <v>32.002656089929246</v>
      </c>
    </row>
    <row r="29" spans="1:7" x14ac:dyDescent="0.35">
      <c r="A29" s="1">
        <v>2021</v>
      </c>
      <c r="B29" s="1">
        <v>2</v>
      </c>
      <c r="C29" s="1" t="s">
        <v>6</v>
      </c>
      <c r="D29" s="5">
        <v>4295</v>
      </c>
      <c r="E29" s="6">
        <v>145630974</v>
      </c>
      <c r="F29" s="1" t="s">
        <v>22</v>
      </c>
      <c r="G29" s="5">
        <f xml:space="preserve"> (Tabla1[[#This Row],[amount_million]] * 1000000) / Tabla1[[#This Row],[transaction_count]]</f>
        <v>29.492352361799078</v>
      </c>
    </row>
    <row r="30" spans="1:7" x14ac:dyDescent="0.35">
      <c r="A30" s="1">
        <v>2021</v>
      </c>
      <c r="B30" s="1">
        <v>2</v>
      </c>
      <c r="C30" s="1" t="s">
        <v>7</v>
      </c>
      <c r="D30" s="5">
        <v>3364</v>
      </c>
      <c r="E30" s="6">
        <v>100423253</v>
      </c>
      <c r="F30" s="1" t="s">
        <v>22</v>
      </c>
      <c r="G30" s="5">
        <f xml:space="preserve"> (Tabla1[[#This Row],[amount_million]] * 1000000) / Tabla1[[#This Row],[transaction_count]]</f>
        <v>33.49821778826464</v>
      </c>
    </row>
    <row r="31" spans="1:7" x14ac:dyDescent="0.35">
      <c r="A31" s="1">
        <v>2022</v>
      </c>
      <c r="B31" s="1">
        <v>1</v>
      </c>
      <c r="C31" s="1" t="s">
        <v>6</v>
      </c>
      <c r="D31" s="5">
        <v>4222</v>
      </c>
      <c r="E31" s="6">
        <v>151377490</v>
      </c>
      <c r="F31" s="1" t="s">
        <v>24</v>
      </c>
      <c r="G31" s="5">
        <f xml:space="preserve"> (Tabla1[[#This Row],[amount_million]] * 1000000) / Tabla1[[#This Row],[transaction_count]]</f>
        <v>27.890540396726092</v>
      </c>
    </row>
    <row r="32" spans="1:7" x14ac:dyDescent="0.35">
      <c r="A32" s="1">
        <v>2022</v>
      </c>
      <c r="B32" s="1">
        <v>1</v>
      </c>
      <c r="C32" s="1" t="s">
        <v>7</v>
      </c>
      <c r="D32" s="5">
        <v>3747</v>
      </c>
      <c r="E32" s="6">
        <v>108446210</v>
      </c>
      <c r="F32" s="1" t="s">
        <v>24</v>
      </c>
      <c r="G32" s="5">
        <f xml:space="preserve"> (Tabla1[[#This Row],[amount_million]] * 1000000) / Tabla1[[#This Row],[transaction_count]]</f>
        <v>34.551691571332924</v>
      </c>
    </row>
    <row r="33" spans="1:7" x14ac:dyDescent="0.35">
      <c r="A33" s="1">
        <v>2022</v>
      </c>
      <c r="B33" s="1">
        <v>2</v>
      </c>
      <c r="C33" s="1" t="s">
        <v>6</v>
      </c>
      <c r="D33" s="5">
        <v>4651</v>
      </c>
      <c r="E33" s="6">
        <v>170949427</v>
      </c>
      <c r="F33" s="1" t="s">
        <v>25</v>
      </c>
      <c r="G33" s="5">
        <f xml:space="preserve"> (Tabla1[[#This Row],[amount_million]] * 1000000) / Tabla1[[#This Row],[transaction_count]]</f>
        <v>27.206876803395193</v>
      </c>
    </row>
    <row r="34" spans="1:7" x14ac:dyDescent="0.35">
      <c r="A34" s="1">
        <v>2022</v>
      </c>
      <c r="B34" s="1">
        <v>2</v>
      </c>
      <c r="C34" s="1" t="s">
        <v>7</v>
      </c>
      <c r="D34" s="5">
        <v>4127</v>
      </c>
      <c r="E34" s="6">
        <v>122344348</v>
      </c>
      <c r="F34" s="1" t="s">
        <v>25</v>
      </c>
      <c r="G34" s="5">
        <f xml:space="preserve"> (Tabla1[[#This Row],[amount_million]] * 1000000) / Tabla1[[#This Row],[transaction_count]]</f>
        <v>33.732657596900182</v>
      </c>
    </row>
    <row r="35" spans="1:7" x14ac:dyDescent="0.35">
      <c r="A35" s="1">
        <v>2023</v>
      </c>
      <c r="B35" s="1">
        <v>1</v>
      </c>
      <c r="C35" s="1" t="s">
        <v>6</v>
      </c>
      <c r="D35" s="5">
        <v>4903</v>
      </c>
      <c r="E35" s="6">
        <v>182635887</v>
      </c>
      <c r="F35" s="1" t="s">
        <v>26</v>
      </c>
      <c r="G35" s="5">
        <f xml:space="preserve"> (Tabla1[[#This Row],[amount_million]] * 1000000) / Tabla1[[#This Row],[transaction_count]]</f>
        <v>26.84576443620853</v>
      </c>
    </row>
    <row r="36" spans="1:7" x14ac:dyDescent="0.35">
      <c r="A36" s="1">
        <v>2023</v>
      </c>
      <c r="B36" s="1">
        <v>1</v>
      </c>
      <c r="C36" s="1" t="s">
        <v>7</v>
      </c>
      <c r="D36" s="5">
        <v>4462</v>
      </c>
      <c r="E36" s="6">
        <v>133696550</v>
      </c>
      <c r="F36" s="1" t="s">
        <v>26</v>
      </c>
      <c r="G36" s="5">
        <f xml:space="preserve"> (Tabla1[[#This Row],[amount_million]] * 1000000) / Tabla1[[#This Row],[transaction_count]]</f>
        <v>33.374084821186486</v>
      </c>
    </row>
    <row r="37" spans="1:7" x14ac:dyDescent="0.35">
      <c r="A37" s="1">
        <v>2023</v>
      </c>
      <c r="B37" s="1">
        <v>2</v>
      </c>
      <c r="C37" s="1" t="s">
        <v>6</v>
      </c>
      <c r="D37" s="5">
        <v>5842</v>
      </c>
      <c r="E37" s="6">
        <v>244182191</v>
      </c>
      <c r="F37" s="1" t="s">
        <v>27</v>
      </c>
      <c r="G37" s="5">
        <f xml:space="preserve"> (Tabla1[[#This Row],[amount_million]] * 1000000) / Tabla1[[#This Row],[transaction_count]]</f>
        <v>23.924758706092533</v>
      </c>
    </row>
    <row r="38" spans="1:7" x14ac:dyDescent="0.35">
      <c r="A38" s="1">
        <v>2023</v>
      </c>
      <c r="B38" s="1">
        <v>2</v>
      </c>
      <c r="C38" s="1" t="s">
        <v>7</v>
      </c>
      <c r="D38" s="5">
        <v>4313</v>
      </c>
      <c r="E38" s="6">
        <v>119210954</v>
      </c>
      <c r="F38" s="1" t="s">
        <v>27</v>
      </c>
      <c r="G38" s="5">
        <f xml:space="preserve"> (Tabla1[[#This Row],[amount_million]] * 1000000) / Tabla1[[#This Row],[transaction_count]]</f>
        <v>36.179561150060088</v>
      </c>
    </row>
    <row r="39" spans="1:7" x14ac:dyDescent="0.35">
      <c r="A39" s="1">
        <v>2024</v>
      </c>
      <c r="B39" s="1">
        <v>1</v>
      </c>
      <c r="C39" s="1" t="s">
        <v>6</v>
      </c>
      <c r="D39" s="5">
        <v>6003</v>
      </c>
      <c r="E39" s="6">
        <v>239125637</v>
      </c>
      <c r="F39" s="1" t="s">
        <v>28</v>
      </c>
      <c r="G39" s="5">
        <f xml:space="preserve"> (Tabla1[[#This Row],[amount_million]] * 1000000) / Tabla1[[#This Row],[transaction_count]]</f>
        <v>25.103958217579155</v>
      </c>
    </row>
    <row r="40" spans="1:7" x14ac:dyDescent="0.35">
      <c r="A40" s="1">
        <v>2024</v>
      </c>
      <c r="B40" s="1">
        <v>1</v>
      </c>
      <c r="C40" s="1" t="s">
        <v>7</v>
      </c>
      <c r="D40" s="5">
        <v>4052</v>
      </c>
      <c r="E40" s="6">
        <v>105971550</v>
      </c>
      <c r="F40" s="1" t="s">
        <v>28</v>
      </c>
      <c r="G40" s="5">
        <f xml:space="preserve"> (Tabla1[[#This Row],[amount_million]] * 1000000) / Tabla1[[#This Row],[transaction_count]]</f>
        <v>38.236677674338068</v>
      </c>
    </row>
    <row r="41" spans="1:7" x14ac:dyDescent="0.35">
      <c r="A41" s="1">
        <v>2024</v>
      </c>
      <c r="B41" s="1">
        <v>2</v>
      </c>
      <c r="C41" s="1" t="s">
        <v>6</v>
      </c>
      <c r="D41" s="5">
        <v>6436</v>
      </c>
      <c r="E41" s="6">
        <v>256967949</v>
      </c>
      <c r="F41" s="1" t="s">
        <v>29</v>
      </c>
      <c r="G41" s="5">
        <f xml:space="preserve"> (Tabla1[[#This Row],[amount_million]] * 1000000) / Tabla1[[#This Row],[transaction_count]]</f>
        <v>25.045925085388763</v>
      </c>
    </row>
    <row r="42" spans="1:7" x14ac:dyDescent="0.35">
      <c r="A42" s="1">
        <v>2024</v>
      </c>
      <c r="B42" s="1">
        <v>2</v>
      </c>
      <c r="C42" s="1" t="s">
        <v>7</v>
      </c>
      <c r="D42" s="5">
        <v>3969</v>
      </c>
      <c r="E42" s="6">
        <v>92631895</v>
      </c>
      <c r="F42" s="1" t="s">
        <v>29</v>
      </c>
      <c r="G42" s="5">
        <f xml:space="preserve"> (Tabla1[[#This Row],[amount_million]] * 1000000) / Tabla1[[#This Row],[transaction_count]]</f>
        <v>42.847012899822467</v>
      </c>
    </row>
    <row r="43" spans="1:7" x14ac:dyDescent="0.35">
      <c r="A43" s="1">
        <v>2025</v>
      </c>
      <c r="B43" s="1">
        <v>1</v>
      </c>
      <c r="C43" s="1" t="s">
        <v>6</v>
      </c>
      <c r="D43" s="5">
        <v>6749</v>
      </c>
      <c r="E43" s="6">
        <v>268024971</v>
      </c>
      <c r="F43" s="1" t="s">
        <v>9</v>
      </c>
      <c r="G43" s="5">
        <f xml:space="preserve"> (Tabla1[[#This Row],[amount_million]] * 1000000) / Tabla1[[#This Row],[transaction_count]]</f>
        <v>25.180489619379532</v>
      </c>
    </row>
    <row r="44" spans="1:7" x14ac:dyDescent="0.35">
      <c r="A44" s="1">
        <v>2025</v>
      </c>
      <c r="B44" s="1">
        <v>1</v>
      </c>
      <c r="C44" s="1" t="s">
        <v>7</v>
      </c>
      <c r="D44" s="5">
        <v>4314</v>
      </c>
      <c r="E44" s="6">
        <v>96841365</v>
      </c>
      <c r="F44" s="1" t="s">
        <v>9</v>
      </c>
      <c r="G44" s="5">
        <f xml:space="preserve"> (Tabla1[[#This Row],[amount_million]] * 1000000) / Tabla1[[#This Row],[transaction_count]]</f>
        <v>44.547079649280036</v>
      </c>
    </row>
    <row r="45" spans="1:7" x14ac:dyDescent="0.35">
      <c r="A45" s="1"/>
      <c r="B45" s="1"/>
      <c r="C45" s="1"/>
      <c r="D45" s="1"/>
      <c r="E45" s="1"/>
      <c r="F45" s="1"/>
      <c r="G45" s="5"/>
    </row>
    <row r="46" spans="1:7" x14ac:dyDescent="0.35">
      <c r="A46" s="1"/>
      <c r="B46" s="1"/>
      <c r="C46" s="1"/>
      <c r="D46" s="1"/>
      <c r="E46" s="1"/>
      <c r="F46" s="1"/>
      <c r="G46" s="5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Ortiz Gomez</dc:creator>
  <cp:lastModifiedBy>Lucas Ortiz Gomez</cp:lastModifiedBy>
  <dcterms:created xsi:type="dcterms:W3CDTF">2025-11-12T20:38:52Z</dcterms:created>
  <dcterms:modified xsi:type="dcterms:W3CDTF">2025-11-13T00:20:28Z</dcterms:modified>
</cp:coreProperties>
</file>